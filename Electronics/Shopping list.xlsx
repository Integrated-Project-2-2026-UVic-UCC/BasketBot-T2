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Specifications" sheetId="1" r:id="rId4"/>
    <sheet state="visible" name="Conceptual_Design" sheetId="2" r:id="rId5"/>
    <sheet state="visible" name="Shopping list" sheetId="3" r:id="rId6"/>
    <sheet state="visible" name="Recommended suppliers" sheetId="4" r:id="rId7"/>
  </sheets>
  <definedNames/>
  <calcPr/>
  <extLst>
    <ext uri="GoogleSheetsCustomDataVersion2">
      <go:sheetsCustomData xmlns:go="http://customooxmlschemas.google.com/" r:id="rId8" roundtripDataChecksum="0HM1iMP74GLZaPISh9gIAwa58TjMiID7oiPv0lPdX2Q="/>
    </ext>
  </extLst>
</workbook>
</file>

<file path=xl/sharedStrings.xml><?xml version="1.0" encoding="utf-8"?>
<sst xmlns="http://schemas.openxmlformats.org/spreadsheetml/2006/main" count="121" uniqueCount="102">
  <si>
    <t>TECHNICAL SPECIFICATIONS</t>
  </si>
  <si>
    <t>Customer Company</t>
  </si>
  <si>
    <t>Universitat de Vic - Universitat Central de Catalunya</t>
  </si>
  <si>
    <t>Engineering Company</t>
  </si>
  <si>
    <t>BasketBot</t>
  </si>
  <si>
    <t>Revision 1</t>
  </si>
  <si>
    <t>Date: 25/02/2026</t>
  </si>
  <si>
    <t>List the main characteristics of the desired device</t>
  </si>
  <si>
    <t>Item number</t>
  </si>
  <si>
    <t>Description</t>
  </si>
  <si>
    <t>Design a basketball hoop with adjustable height for children and adults</t>
  </si>
  <si>
    <t>Implement an electronic scoreboard and timeboard.</t>
  </si>
  <si>
    <t>Detect if a ball goes in or not and to prevent the ball from going in underneath and to verify that the ball has actually gone in.</t>
  </si>
  <si>
    <t>Use an ultrasonic sensor to validate the player’s position during specific game modes.</t>
  </si>
  <si>
    <t>Develop a mobile web application to select game modes, display score, player turns, remaining shooting time and configure hoop height and game parameters</t>
  </si>
  <si>
    <t>Mechanical part</t>
  </si>
  <si>
    <t>Dimensions (volume)</t>
  </si>
  <si>
    <t>Support dimensions: 150 mm x 200 mm x 400 mm                 Backboard dimensions: 458 × 267 mm                           Hoop dimensions: Ø 114 mm</t>
  </si>
  <si>
    <t xml:space="preserve">Weight </t>
  </si>
  <si>
    <t xml:space="preserve">Hoop 300g (what the motor needs to move) + Motor 500g + Other parts 200g = 1kg </t>
  </si>
  <si>
    <t>Materials for the mechanical part / structure</t>
  </si>
  <si>
    <t>3D printed parts</t>
  </si>
  <si>
    <t>Motors</t>
  </si>
  <si>
    <t>1 Stepper motor (400mn.m) we need more or less 100mn.m</t>
  </si>
  <si>
    <t>Manufacturing equipment</t>
  </si>
  <si>
    <t>3D Printer</t>
  </si>
  <si>
    <t>Assembly between parts</t>
  </si>
  <si>
    <t>Bolts and nuts</t>
  </si>
  <si>
    <t>Electronic &amp; programming part</t>
  </si>
  <si>
    <t>Microcontroller</t>
  </si>
  <si>
    <t>ESP32</t>
  </si>
  <si>
    <t>Drivers</t>
  </si>
  <si>
    <t>TMC2209</t>
  </si>
  <si>
    <t>Sensors</t>
  </si>
  <si>
    <t>1 Ultrasonic sensors + 2 IR Break Beam Sensor</t>
  </si>
  <si>
    <t>Communication</t>
  </si>
  <si>
    <t>Wifi</t>
  </si>
  <si>
    <t>Programming</t>
  </si>
  <si>
    <t>Arduino IDE</t>
  </si>
  <si>
    <t>CONCEPTUAL DESIGN</t>
  </si>
  <si>
    <t>Include an image (or more than one) with the current status of the conceptual design. Can be a sketches done with pencil</t>
  </si>
  <si>
    <t>PRELIMINAR ORDER LIST</t>
  </si>
  <si>
    <t>Team:</t>
  </si>
  <si>
    <t>Total cost [€]</t>
  </si>
  <si>
    <t>Budget limit [€]</t>
  </si>
  <si>
    <t>Description of the material</t>
  </si>
  <si>
    <t>Quantity</t>
  </si>
  <si>
    <t>Price [€]</t>
  </si>
  <si>
    <t>Cost [€]</t>
  </si>
  <si>
    <t>Provider</t>
  </si>
  <si>
    <t>Link / website</t>
  </si>
  <si>
    <t>Motor NEMA 17 Stepper Torque=0,4 Nm + 400 mm Integrated Lead Screw</t>
  </si>
  <si>
    <t>Amazon</t>
  </si>
  <si>
    <t>https://www.amazon.es/Iverntech-NEMA-17-integrado-impresora/dp/B07YQQGQ4C/ref=sr_1_21?crid=3ELA44UMY7WUI&amp;dib=eyJ2IjoiMSJ9.Ty5Jo_126C6Uoc7spFUIhFmLvczwYnmF_FbP-dCyqmdKRVyr003gXl7OCMDpnqCoCg2ffBOT8p6om0ROJRrRaqDPzIygcmW6jXQq_gnA8yXs9bRU3261bMAiSfZJI4lfxQp91in-biDp08zdf45FHg1UyAsrGVc7lQL9GozkyJRaYBw2WNDFRg0r7qyuZWqucDtHRBtV0LpYHq_v6oN1BBxiEZ463KL0_5U0Fbr-EZ3h0CJJc2FaNZGi4Hyf4R6WbTubY2XQ8he5fdC8Mi6aFz-bpdbC60_sbl-aYhwQ-s0.aarwnwcD73CqkvOw8YSCz6A5XkOQmzaUek0lUejboG0&amp;dib_tag=se&amp;keywords=husillo%2Bcon%2Bmotor&amp;qid=1771957024&amp;sprefix=husillo%2Bcon%2Bmoto%2Caps%2C275&amp;sr=8-21&amp;th=1</t>
  </si>
  <si>
    <t>Driver TMC2209</t>
  </si>
  <si>
    <t>https://www.amazon.es/TMC2209-Controlador-Motor-Ultra-Silencioso/dp/B0C33GSGN7/ref=sr_1_1_sspa?__mk_es_ES=%C3%85M%C3%85%C5%BD%C3%95%C3%91&amp;crid=3V6K2GYO2SS5O&amp;dib=eyJ2IjoiMSJ9.vvHyK3HC0uopc70nDapfVWbiwW0a-VWOM9iMU3tLWXxxOfsD7FKxE5eHlWAwvRLTSGD6a6c0KMrtcvkVqlZvzS_IUMnYGPepe-e7IO5KyzzO8xtYHtiqc0MetbXyNW0Fvk2UTZUQEuO5tmQmEexe8Z5ti4bdHAv7aAWFancQ7UIrAesEMeWVFn0GwWK3lZdm77Pf4EXoiBcUPWTrnvOBgf1vPJ0pBqS2L8wh8jn6eFMLmuVARuNOTCobAiBGAk1AsaCcf0wHxEmT8F1uGMMh938xlgxq_BywcjV5Dbmu-b0.BqtGk2CUgCrHgZvFtU1GNJ_4FJGU6n7QM-l7CVke93g&amp;dib_tag=se&amp;keywords=TMC2209&amp;qid=1772724811&amp;sprefix=tmc2209%2Caps%2C279&amp;sr=8-1-spons&amp;aref=zdGDiy4Qwr&amp;sp_csd=d2lkZ2V0TmFtZT1zcF9hdGY&amp;psc=1</t>
  </si>
  <si>
    <t>https://www.amazon.es/TECNOIOT-Development-Bluetooth-ESP-32S-Ultra-Low/dp/B07N97DD1B?source=ps-sl-shoppingads-lpcontext&amp;ref_=fplfs&amp;psc=1&amp;smid=A3U3NV7MT8POQS&amp;utm_source=chatgpt.com</t>
  </si>
  <si>
    <t>TSOP4838</t>
  </si>
  <si>
    <t>Adafruit</t>
  </si>
  <si>
    <t>https://www.amazon.es/Vishay-TSOP4838-TSOP4838-5pcs/dp/B00UO9VO8O/ref=sr_1_1?crid=N6VOCH972DZ7&amp;dib=eyJ2IjoiMSJ9.qbAAq3CP5LyX4oPt8BGcz6PvcYB9FYGngBmOoyruQicUGxDbvEDFWMW5tvleg7SoWF99xrv12mmnUKgfk9ywuORjNm3DxBH4N4UfyAQcgWlxYL8oHeqY1HLWgoElddqK.eT6229r4R9xSCAddIPshjh6tgOzZtnfofHhJ3L-yyWw&amp;dib_tag=se&amp;keywords=TSOP4838&amp;qid=1772725454&amp;sprefix=tsop4838%2Caps%2C300&amp;sr=8-1</t>
  </si>
  <si>
    <t>Ultrasonic Sensor</t>
  </si>
  <si>
    <t>https://www.amazon.es/DollaTek-medici%C3%B3n-Distancia-ultrasonidos-transductor/dp/B07DK55VN7/ref=sr_1_9?crid=91BCZ07TJXW1&amp;dib=eyJ2IjoiMSJ9.2EPPWXs3yDxrGqf8uVdmEklLpg_5k0wIuvy8ncm6j11CVQfimPqp42MqJgP5eKWkKzYH5lovoiEY---1emoZ7hYa54zXD0jxW5X_HnQeMPiI8PWfFemH8HfEAi_aviS-W6xDi-FIJyuEuAzRvvS10xWZoBODfJS6lb8o1BbEXIy-zrU_7SB5OBzyWwP4TM0cF22EUxsa3M413tDHvdtkZMDYc7U9D1KGiE3sY3_8RWLf93TBVvonEikBZUmjgvmmZf3OCQcM8Q9QpD7Eg8U4iIZTV1KPurCCOWzP4xR_aJQ.0BgJHQMI-f100DmxHpBjA70PLZP7kHtWOSdYn1bidds&amp;dib_tag=se&amp;keywords=ultrasonic+sensor+arduino&amp;qid=1772007762&amp;sprefix=ultrasonic+sensor+arduin%2Caps%2C274&amp;sr=8-9</t>
  </si>
  <si>
    <t>TM1637</t>
  </si>
  <si>
    <t>https://www.amazon.es/visualizaci%C3%B3n-pulgadas-conductor-programable-segmentos/dp/B0D9Q563BD/ref=sr_1_6?crid=3SP6YOSBQE43S&amp;dib=eyJ2IjoiMSJ9.k80DpbD5TvOAHTnSipbftv_BxbGZvqCGZ5Ly5ANdTtXqYZaqb-NtMzCcIFDFNpst9XRuEFszIdm9xKHR8kp6nQlx_E_NppvtSEcY9hPh1AUmDw27npe72xINLXZTtpvnsmftP-u2Vg5LLZuRTUE5krxaP7jRYif77FjuxU9lH7DG6-p8BN080A-IyPYzj4_XLYwstl5l2HuO1VcxdqvZ_N0TNf1Bp-7w6hkAC3mLc072tjcpq5AmmEbg9AkyMnSGc__z8upMo58SwvaOg_PDQzz9gqgXPZOAbZaV8bGNauE.JeCeYoJ1fM3GWFUgcNqvBCQIqaWSMLLoudWS9IVhP40&amp;dib_tag=se&amp;keywords=TM1637&amp;qid=1772007848&amp;sprefix=tm1637%2Caps%2C351&amp;sr=8-6&amp;th=1</t>
  </si>
  <si>
    <t>Push button</t>
  </si>
  <si>
    <t>https://www.amazon.es/DAOKAI-interruptor-moment%C3%A1neo-componentes-electr%C3%B3nicos/dp/B09WVFHMSV/ref=asc_df_B09WVFHMSV?mcid=d98792bf05cb321fb67f30f9d2a5e562&amp;tag=googshopes-21&amp;linkCode=df0&amp;hvadid=699738949327&amp;hvpos=&amp;hvnetw=g&amp;hvrand=9176436444474790263&amp;hvpone=&amp;hvptwo=&amp;hvqmt=&amp;hvdev=c&amp;hvdvcmdl=&amp;hvlocint=&amp;hvlocphy=1005469&amp;hvtargid=pla-1922990063712&amp;hvocijid=9176436444474790263-B09WVFHMSV-&amp;hvexpln=0&amp;th=1</t>
  </si>
  <si>
    <t>Blue Led</t>
  </si>
  <si>
    <t>Robotlandia</t>
  </si>
  <si>
    <t>https://robotlandia.es/luz/1089-diodos-led-de-10-mm-para-arduino-varios-colores.html</t>
  </si>
  <si>
    <t>Red Led</t>
  </si>
  <si>
    <t>https://robotlandia.es/luz/1090-diodos-led-de-10-mm-para-arduino-varios-colores.html</t>
  </si>
  <si>
    <t>Green Led</t>
  </si>
  <si>
    <t>https://robotlandia.es/luz/1087-diodos-led-de-10-mm-para-arduino-varios-colores.html</t>
  </si>
  <si>
    <t>Limit sensor switch</t>
  </si>
  <si>
    <t>https://www.amazon.es/OTOTEC-Microinterruptor-Palanca-Equipos-Electr%C3%B3nicos/dp/B0F9XY54M7/ref=sr_1_2?crid=3OLYWFYEIOZNC&amp;dib=eyJ2IjoiMSJ9.HXMhoB4LfNenCyPYccP0yOmhIjjvIw4J0FUnt-2_hMq_XAsvGyaFMLX0P_43u9K7LRHGQ17ttc3q4TqaZhJvrbiwPBfuMPYFldvrOaUXGY8.MQ7CVmmTR658VIZkXOpxuwpNbsQhRlqkCsiZX5wueos&amp;dib_tag=se&amp;keywords=KW11-3Z&amp;qid=1771956119&amp;sprefix=kw11-3z%2Caps%2C252&amp;sr=8-2</t>
  </si>
  <si>
    <t>Rsistor 330 Ω</t>
  </si>
  <si>
    <t>https://www.amazon.es/YOKIVE-resistencias-tolerancias-proyectos-electr%C3%B3nicos/dp/B0BNHSLXLK/ref=sr_1_7?crid=2CBBK61XUW9YY&amp;dib=eyJ2IjoiMSJ9.ieJdkClfIoWhC-5IsWhQnHq86O7eTmg-z6HKuGIaGLHNg80Yt7KpCZituhYvs-2wWDK976Obgdfdu2vH0V5io2JtmpT1S7hTHIR_euiejm1RIl9hm4vbkpRy4srSIT-5MEcs8lKrqmupCVzRLxm23vIYoQ6MUg5kpNk4-Jk-jBjENHkpZRWfgyOPXwJS0wTSPzesQEvBw-8Hq-RXdxPOXV4tb6IffiPuTj0EhqZXvatsyUsAXpNtVsnq2D5ztMqj7B8fYfBdQErm1-GicpWV6wvFVeAz8GAvE4zNdclPs2o.VECY_semjDIsyNape6eg5DhClzH2lMlLwELmRMaINtM&amp;dib_tag=se&amp;keywords=resistencias+330+ohmios&amp;qid=1772115251&amp;sprefix=resistencias+330+ohmios%2Caps%2C416&amp;sr=8-7</t>
  </si>
  <si>
    <t>Protoboard</t>
  </si>
  <si>
    <t>https://www.amazon.es/ELEGOO-Breadboard-Prototipo-Soldaduras-Realizado/dp/B0CY4YGWZ4/ref=sr_1_1_sspa?crid=254J4GTKYQRO1&amp;dib=eyJ2IjoiMSJ9.ixCwfcZ0eydZX_A23e5H5ndPj_g4OkqgD4tI3hZ6DYeG8KUhgFPiwSkDWVDChAwO0zQ9xi-D0CvGVaUVZ8HggDPSLn_H0Odaznl-FB-tURzaNhgDRqRBLgxXFOmfvaabVFDi6p-cqr2qDrs725xbSmFEtm3g-GyiDoNJ2dTS2qArjTOI5PEQxHvmcpz-laieazYZiq5EA1RNtasKsqEkyNGSUzZeRkPxd2vwcsVSlJc-M_3tyRHWyC5nnM_k8xBll75AdgkiPGhq1JQGSd20lRZRcedIvXxD47oMeQECgW0.WDzzTLRNV1tSO7bpz2pegr84lWdfF5Wy6Nd5M5pVB_8&amp;dib_tag=se&amp;keywords=protoboard&amp;qid=1772115131&amp;sprefix=protoboar%2Caps%2C355&amp;sr=8-1-spons&amp;aref=NBTNuyk8Dr&amp;sp_csd=d2lkZ2V0TmFtZT1zcF9hdGY&amp;th=1</t>
  </si>
  <si>
    <t>LED IR de 940 nm</t>
  </si>
  <si>
    <t>https://www.amazon.es/Hailege-Infrared-Receiver-Emission-10Receiver/dp/B07Y2RK1FF/ref=sr_1_4?crid=1AGOKXP0E3782&amp;dib=eyJ2IjoiMSJ9.iZbMBt5ZjwyBVD__4ooiEMlNW-RiASik-QGIR4vjDW412NzLELatRYeqkePI-b6p8q4o3vycLbT1roICOLuoA7x6q78kpJIZPAdqw9jnEkbs338nPdpXRl6147SIV9HMqIfrAt8ttl1JE1duLetkNRL5G5uTfYb4Qq6pqMxLPl4Hi-QstGVv3BxwkJPQB5p3UiTknGKu-hYiX4MSOTA_mMKR7pYUi0W1SJuhKQHpmoME5nnGXcV7AMRxY_imdyM_exc-LATaIfBB1a5BMRUYZTeMWgmd4G74NCDXjBEf62Q.s2kqUV4136UXQT4mvhiML3G6NPApVUao_-QK2LZ4x8A&amp;dib_tag=se&amp;keywords=LED+IR+de+940+nm&amp;qid=1772729758&amp;sprefix=led+ir+de+940+nm%2Caps%2C357&amp;sr=8-4</t>
  </si>
  <si>
    <t>Rsistor 100 Ω</t>
  </si>
  <si>
    <t>https://www.amazon.es/YOKIVE-resistencias-tolerancias-proyectos-electr%C3%B3nicos/dp/B0BMXDTM9T/ref=sr_1_4?crid=ZXRG6SJ31ODO&amp;dib=eyJ2IjoiMSJ9._LZ6-LbqDwDmlZ88Xjk9SqaTh18BHvrVeIG08BSdtn5gOaeW8yaNwtd69iRV5-RGc9xrqxdfuGDheo4onHQL91k5VrGV4T-B0gE5sW8uaBDYfkiexk28SDd5xBC9RR8LJs8VhdxmZkFSMrwkXrbnWQVw79568GE4kdZqHlh7K8j2PFZONkCv_xqOowZskSJJUE0gd9RymHBSj0WqJx_twcg8p4uCTxFV_GFLu8bLpRZznRNWgp7mmIJ7RpqLMEZbjmw6Fd4HijCnXSTwXhFKmXS8kPYKLuiW5SncizsqV9Y.IFnCfXnZuHbDgfyQx7axs-RmEyXPGUpd9J1xCfLvceQ&amp;dib_tag=se&amp;keywords=resistor+100+%CE%A9&amp;qid=1772732873&amp;sprefix=resistor+100+%CF%89%2Caps%2C246&amp;sr=8-4</t>
  </si>
  <si>
    <t>link</t>
  </si>
  <si>
    <t>RS Online</t>
  </si>
  <si>
    <t>distributor of electronics, electricity and industrial maintenance products</t>
  </si>
  <si>
    <t>https://es.rs-online.com/</t>
  </si>
  <si>
    <t>BCN 3D Technologies</t>
  </si>
  <si>
    <t>3D Printing Filament distributor for our 3D printer BCN 3D Sigma</t>
  </si>
  <si>
    <t>https://www.bcn3dtechnologies.com/ca/</t>
  </si>
  <si>
    <t>Robotshop</t>
  </si>
  <si>
    <t>Stepper motor, grippers, servo motors, arduinos, raspberry Pi, drivers for motors</t>
  </si>
  <si>
    <t>https://www.robotshop.com/</t>
  </si>
  <si>
    <t>Motedis</t>
  </si>
  <si>
    <t>Mechanical components, aluminium profiles</t>
  </si>
  <si>
    <t>https://www.motedis.es/shop/index.php</t>
  </si>
  <si>
    <t>Electronics and more</t>
  </si>
  <si>
    <t>https://www.amazon.es/</t>
  </si>
  <si>
    <t>ALACER MAS</t>
  </si>
  <si>
    <t>http://www.alacermas.com/index.php</t>
  </si>
  <si>
    <t>Please check also the list of recommended providers in the virtual campus.</t>
  </si>
  <si>
    <t>https://campus.uvic.cat/aules/pluginfile.php/830007/mod_resource/content/2/IP2_List_of_possible_providers.pdf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</si>
</sst>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sz val="11.0"/>
      <color rgb="FF000000"/>
      <name val="Cambria"/>
    </font>
    <font>
      <b/>
      <sz val="14.0"/>
      <color rgb="FF000000"/>
      <name val="Cambria"/>
    </font>
    <font>
      <b/>
      <sz val="11.0"/>
      <color rgb="FF000000"/>
      <name val="Cambria"/>
    </font>
    <font/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00"/>
      <name val="Cambria"/>
    </font>
    <font>
      <u/>
      <sz val="11.0"/>
      <color rgb="FF0000FF"/>
      <name val="Cambria"/>
    </font>
    <font>
      <u/>
      <sz val="11.0"/>
      <color rgb="FF000000"/>
      <name val="Cambria"/>
    </font>
    <font>
      <sz val="11.0"/>
      <color theme="1"/>
      <name val="Cambria"/>
    </font>
    <font>
      <color theme="1"/>
      <name val="Calibri"/>
      <scheme val="minor"/>
    </font>
    <font>
      <u/>
      <sz val="11.0"/>
      <color rgb="FF0563C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3" fontId="1" numFmtId="0" xfId="0" applyAlignment="1" applyBorder="1" applyFill="1" applyFont="1">
      <alignment readingOrder="0" shrinkToFit="0" vertical="bottom" wrapText="1"/>
    </xf>
    <xf borderId="2" fillId="2" fontId="3" numFmtId="0" xfId="0" applyAlignment="1" applyBorder="1" applyFont="1">
      <alignment horizontal="center" shrinkToFit="0" vertical="bottom" wrapText="0"/>
    </xf>
    <xf borderId="3" fillId="0" fontId="4" numFmtId="0" xfId="0" applyBorder="1" applyFont="1"/>
    <xf borderId="1" fillId="2" fontId="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readingOrder="0" shrinkToFit="0" vertical="bottom" wrapText="0"/>
    </xf>
    <xf borderId="1" fillId="3" fontId="1" numFmtId="0" xfId="0" applyAlignment="1" applyBorder="1" applyFont="1">
      <alignment shrinkToFit="0" vertical="bottom" wrapText="0"/>
    </xf>
    <xf borderId="1" fillId="3" fontId="5" numFmtId="0" xfId="0" applyAlignment="1" applyBorder="1" applyFont="1">
      <alignment readingOrder="0" shrinkToFit="0" vertical="bottom" wrapText="0"/>
    </xf>
    <xf borderId="1" fillId="3" fontId="6" numFmtId="0" xfId="0" applyAlignment="1" applyBorder="1" applyFont="1">
      <alignment readingOrder="0" shrinkToFit="0" vertical="bottom" wrapText="0"/>
    </xf>
    <xf borderId="1" fillId="3" fontId="7" numFmtId="0" xfId="0" applyAlignment="1" applyBorder="1" applyFont="1">
      <alignment readingOrder="0" shrinkToFit="0" vertical="bottom" wrapText="0"/>
    </xf>
    <xf borderId="1" fillId="3" fontId="8" numFmtId="0" xfId="0" applyAlignment="1" applyBorder="1" applyFont="1">
      <alignment readingOrder="0" shrinkToFit="0" vertical="bottom" wrapText="0"/>
    </xf>
    <xf borderId="1" fillId="3" fontId="9" numFmtId="0" xfId="0" applyAlignment="1" applyBorder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3" fontId="11" numFmtId="0" xfId="0" applyFont="1"/>
    <xf borderId="0" fillId="0" fontId="1" numFmtId="0" xfId="0" applyAlignment="1" applyFont="1">
      <alignment readingOrder="0" shrinkToFit="0" vertical="bottom" wrapText="1"/>
    </xf>
    <xf borderId="1" fillId="0" fontId="1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57150</xdr:rowOff>
    </xdr:from>
    <xdr:ext cx="533400" cy="495300"/>
    <xdr:pic>
      <xdr:nvPicPr>
        <xdr:cNvPr descr="Logo_UVIC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114300</xdr:rowOff>
    </xdr:from>
    <xdr:ext cx="533400" cy="495300"/>
    <xdr:pic>
      <xdr:nvPicPr>
        <xdr:cNvPr descr="Logo_UVIC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810125" cy="43053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38100</xdr:rowOff>
    </xdr:from>
    <xdr:ext cx="533400" cy="485775"/>
    <xdr:pic>
      <xdr:nvPicPr>
        <xdr:cNvPr descr="Logo_UVIC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es/OTOTEC-Microinterruptor-Palanca-Equipos-Electr%C3%B3nicos/dp/B0F9XY54M7/ref=sr_1_2?crid=3OLYWFYEIOZNC&amp;dib=eyJ2IjoiMSJ9.HXMhoB4LfNenCyPYccP0yOmhIjjvIw4J0FUnt-2_hMq_XAsvGyaFMLX0P_43u9K7LRHGQ17ttc3q4TqaZhJvrbiwPBfuMPYFldvrOaUXGY8.MQ7CVmmTR658VIZkXOpxuwpNbsQhRlqkCsiZX5wueos&amp;dib_tag=se&amp;keywords=KW11-3Z&amp;qid=1771956119&amp;sprefix=kw11-3z%2Caps%2C252&amp;sr=8-2" TargetMode="External"/><Relationship Id="rId10" Type="http://schemas.openxmlformats.org/officeDocument/2006/relationships/hyperlink" Target="https://robotlandia.es/luz/1087-diodos-led-de-10-mm-para-arduino-varios-colores.html" TargetMode="External"/><Relationship Id="rId13" Type="http://schemas.openxmlformats.org/officeDocument/2006/relationships/hyperlink" Target="https://www.amazon.es/ELEGOO-Breadboard-Prototipo-Soldaduras-Realizado/dp/B0CY4YGWZ4/ref=sr_1_1_sspa?crid=254J4GTKYQRO1&amp;dib=eyJ2IjoiMSJ9.ixCwfcZ0eydZX_A23e5H5ndPj_g4OkqgD4tI3hZ6DYeG8KUhgFPiwSkDWVDChAwO0zQ9xi-D0CvGVaUVZ8HggDPSLn_H0Odaznl-FB-tURzaNhgDRqRBLgxXFOmfvaabVFDi6p-cqr2qDrs725xbSmFEtm3g-GyiDoNJ2dTS2qArjTOI5PEQxHvmcpz-laieazYZiq5EA1RNtasKsqEkyNGSUzZeRkPxd2vwcsVSlJc-M_3tyRHWyC5nnM_k8xBll75AdgkiPGhq1JQGSd20lRZRcedIvXxD47oMeQECgW0.WDzzTLRNV1tSO7bpz2pegr84lWdfF5Wy6Nd5M5pVB_8&amp;dib_tag=se&amp;keywords=protoboard&amp;qid=1772115131&amp;sprefix=protoboar%2Caps%2C355&amp;sr=8-1-spons&amp;aref=NBTNuyk8Dr&amp;sp_csd=d2lkZ2V0TmFtZT1zcF9hdGY&amp;th=1" TargetMode="External"/><Relationship Id="rId12" Type="http://schemas.openxmlformats.org/officeDocument/2006/relationships/hyperlink" Target="https://www.amazon.es/YOKIVE-resistencias-tolerancias-proyectos-electr%C3%B3nicos/dp/B0BNHSLXLK/ref=sr_1_7?crid=2CBBK61XUW9YY&amp;dib=eyJ2IjoiMSJ9.ieJdkClfIoWhC-5IsWhQnHq86O7eTmg-z6HKuGIaGLHNg80Yt7KpCZituhYvs-2wWDK976Obgdfdu2vH0V5io2JtmpT1S7hTHIR_euiejm1RIl9hm4vbkpRy4srSIT-5MEcs8lKrqmupCVzRLxm23vIYoQ6MUg5kpNk4-Jk-jBjENHkpZRWfgyOPXwJS0wTSPzesQEvBw-8Hq-RXdxPOXV4tb6IffiPuTj0EhqZXvatsyUsAXpNtVsnq2D5ztMqj7B8fYfBdQErm1-GicpWV6wvFVeAz8GAvE4zNdclPs2o.VECY_semjDIsyNape6eg5DhClzH2lMlLwELmRMaINtM&amp;dib_tag=se&amp;keywords=resistencias+330+ohmios&amp;qid=1772115251&amp;sprefix=resistencias+330+ohmios%2Caps%2C416&amp;sr=8-7" TargetMode="External"/><Relationship Id="rId1" Type="http://schemas.openxmlformats.org/officeDocument/2006/relationships/hyperlink" Target="https://www.amazon.es/Iverntech-NEMA-17-integrado-impresora/dp/B07YQQGQ4C/ref=sr_1_21?crid=3ELA44UMY7WUI&amp;dib=eyJ2IjoiMSJ9.Ty5Jo_126C6Uoc7spFUIhFmLvczwYnmF_FbP-dCyqmdKRVyr003gXl7OCMDpnqCoCg2ffBOT8p6om0ROJRrRaqDPzIygcmW6jXQq_gnA8yXs9bRU3261bMAiSfZJI4lfxQp91in-biDp08zdf45FHg1UyAsrGVc7lQL9GozkyJRaYBw2WNDFRg0r7qyuZWqucDtHRBtV0LpYHq_v6oN1BBxiEZ463KL0_5U0Fbr-EZ3h0CJJc2FaNZGi4Hyf4R6WbTubY2XQ8he5fdC8Mi6aFz-bpdbC60_sbl-aYhwQ-s0.aarwnwcD73CqkvOw8YSCz6A5XkOQmzaUek0lUejboG0&amp;dib_tag=se&amp;keywords=husillo%2Bcon%2Bmotor&amp;qid=1771957024&amp;sprefix=husillo%2Bcon%2Bmoto%2Caps%2C275&amp;sr=8-21&amp;th=1" TargetMode="External"/><Relationship Id="rId2" Type="http://schemas.openxmlformats.org/officeDocument/2006/relationships/hyperlink" Target="https://www.amazon.es/TMC2209-Controlador-Motor-Ultra-Silencioso/dp/B0C33GSGN7/ref=sr_1_1_sspa?__mk_es_ES=%C3%85M%C3%85%C5%BD%C3%95%C3%91&amp;crid=3V6K2GYO2SS5O&amp;dib=eyJ2IjoiMSJ9.vvHyK3HC0uopc70nDapfVWbiwW0a-VWOM9iMU3tLWXxxOfsD7FKxE5eHlWAwvRLTSGD6a6c0KMrtcvkVqlZvzS_IUMnYGPepe-e7IO5KyzzO8xtYHtiqc0MetbXyNW0Fvk2UTZUQEuO5tmQmEexe8Z5ti4bdHAv7aAWFancQ7UIrAesEMeWVFn0GwWK3lZdm77Pf4EXoiBcUPWTrnvOBgf1vPJ0pBqS2L8wh8jn6eFMLmuVARuNOTCobAiBGAk1AsaCcf0wHxEmT8F1uGMMh938xlgxq_BywcjV5Dbmu-b0.BqtGk2CUgCrHgZvFtU1GNJ_4FJGU6n7QM-l7CVke93g&amp;dib_tag=se&amp;keywords=TMC2209&amp;qid=1772724811&amp;sprefix=tmc2209%2Caps%2C279&amp;sr=8-1-spons&amp;aref=zdGDiy4Qwr&amp;sp_csd=d2lkZ2V0TmFtZT1zcF9hdGY&amp;psc=1" TargetMode="External"/><Relationship Id="rId3" Type="http://schemas.openxmlformats.org/officeDocument/2006/relationships/hyperlink" Target="https://www.amazon.es/TECNOIOT-Development-Bluetooth-ESP-32S-Ultra-Low/dp/B07N97DD1B?source=ps-sl-shoppingads-lpcontext&amp;ref_=fplfs&amp;psc=1&amp;smid=A3U3NV7MT8POQS&amp;utm_source=chatgpt.com" TargetMode="External"/><Relationship Id="rId4" Type="http://schemas.openxmlformats.org/officeDocument/2006/relationships/hyperlink" Target="https://www.amazon.es/Vishay-TSOP4838-TSOP4838-5pcs/dp/B00UO9VO8O/ref=sr_1_1?crid=N6VOCH972DZ7&amp;dib=eyJ2IjoiMSJ9.qbAAq3CP5LyX4oPt8BGcz6PvcYB9FYGngBmOoyruQicUGxDbvEDFWMW5tvleg7SoWF99xrv12mmnUKgfk9ywuORjNm3DxBH4N4UfyAQcgWlxYL8oHeqY1HLWgoElddqK.eT6229r4R9xSCAddIPshjh6tgOzZtnfofHhJ3L-yyWw&amp;dib_tag=se&amp;keywords=TSOP4838&amp;qid=1772725454&amp;sprefix=tsop4838%2Caps%2C300&amp;sr=8-1" TargetMode="External"/><Relationship Id="rId9" Type="http://schemas.openxmlformats.org/officeDocument/2006/relationships/hyperlink" Target="https://robotlandia.es/luz/1090-diodos-led-de-10-mm-para-arduino-varios-colores.html" TargetMode="External"/><Relationship Id="rId15" Type="http://schemas.openxmlformats.org/officeDocument/2006/relationships/hyperlink" Target="https://www.amazon.es/YOKIVE-resistencias-tolerancias-proyectos-electr%C3%B3nicos/dp/B0BMXDTM9T/ref=sr_1_4?crid=ZXRG6SJ31ODO&amp;dib=eyJ2IjoiMSJ9._LZ6-LbqDwDmlZ88Xjk9SqaTh18BHvrVeIG08BSdtn5gOaeW8yaNwtd69iRV5-RGc9xrqxdfuGDheo4onHQL91k5VrGV4T-B0gE5sW8uaBDYfkiexk28SDd5xBC9RR8LJs8VhdxmZkFSMrwkXrbnWQVw79568GE4kdZqHlh7K8j2PFZONkCv_xqOowZskSJJUE0gd9RymHBSj0WqJx_twcg8p4uCTxFV_GFLu8bLpRZznRNWgp7mmIJ7RpqLMEZbjmw6Fd4HijCnXSTwXhFKmXS8kPYKLuiW5SncizsqV9Y.IFnCfXnZuHbDgfyQx7axs-RmEyXPGUpd9J1xCfLvceQ&amp;dib_tag=se&amp;keywords=resistor+100+%CE%A9&amp;qid=1772732873&amp;sprefix=resistor+100+%CF%89%2Caps%2C246&amp;sr=8-4" TargetMode="External"/><Relationship Id="rId14" Type="http://schemas.openxmlformats.org/officeDocument/2006/relationships/hyperlink" Target="https://www.amazon.es/Hailege-Infrared-Receiver-Emission-10Receiver/dp/B07Y2RK1FF/ref=sr_1_4?crid=1AGOKXP0E3782&amp;dib=eyJ2IjoiMSJ9.iZbMBt5ZjwyBVD__4ooiEMlNW-RiASik-QGIR4vjDW412NzLELatRYeqkePI-b6p8q4o3vycLbT1roICOLuoA7x6q78kpJIZPAdqw9jnEkbs338nPdpXRl6147SIV9HMqIfrAt8ttl1JE1duLetkNRL5G5uTfYb4Qq6pqMxLPl4Hi-QstGVv3BxwkJPQB5p3UiTknGKu-hYiX4MSOTA_mMKR7pYUi0W1SJuhKQHpmoME5nnGXcV7AMRxY_imdyM_exc-LATaIfBB1a5BMRUYZTeMWgmd4G74NCDXjBEf62Q.s2kqUV4136UXQT4mvhiML3G6NPApVUao_-QK2LZ4x8A&amp;dib_tag=se&amp;keywords=LED+IR+de+940+nm&amp;qid=1772729758&amp;sprefix=led+ir+de+940+nm%2Caps%2C357&amp;sr=8-4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www.amazon.es/DollaTek-medici%C3%B3n-Distancia-ultrasonidos-transductor/dp/B07DK55VN7/ref=sr_1_9?crid=91BCZ07TJXW1&amp;dib=eyJ2IjoiMSJ9.2EPPWXs3yDxrGqf8uVdmEklLpg_5k0wIuvy8ncm6j11CVQfimPqp42MqJgP5eKWkKzYH5lovoiEY---1emoZ7hYa54zXD0jxW5X_HnQeMPiI8PWfFemH8HfEAi_aviS-W6xDi-FIJyuEuAzRvvS10xWZoBODfJS6lb8o1BbEXIy-zrU_7SB5OBzyWwP4TM0cF22EUxsa3M413tDHvdtkZMDYc7U9D1KGiE3sY3_8RWLf93TBVvonEikBZUmjgvmmZf3OCQcM8Q9QpD7Eg8U4iIZTV1KPurCCOWzP4xR_aJQ.0BgJHQMI-f100DmxHpBjA70PLZP7kHtWOSdYn1bidds&amp;dib_tag=se&amp;keywords=ultrasonic+sensor+arduino&amp;qid=1772007762&amp;sprefix=ultrasonic+sensor+arduin%2Caps%2C274&amp;sr=8-9" TargetMode="External"/><Relationship Id="rId6" Type="http://schemas.openxmlformats.org/officeDocument/2006/relationships/hyperlink" Target="https://www.amazon.es/visualizaci%C3%B3n-pulgadas-conductor-programable-segmentos/dp/B0D9Q563BD/ref=sr_1_6?crid=3SP6YOSBQE43S&amp;dib=eyJ2IjoiMSJ9.k80DpbD5TvOAHTnSipbftv_BxbGZvqCGZ5Ly5ANdTtXqYZaqb-NtMzCcIFDFNpst9XRuEFszIdm9xKHR8kp6nQlx_E_NppvtSEcY9hPh1AUmDw27npe72xINLXZTtpvnsmftP-u2Vg5LLZuRTUE5krxaP7jRYif77FjuxU9lH7DG6-p8BN080A-IyPYzj4_XLYwstl5l2HuO1VcxdqvZ_N0TNf1Bp-7w6hkAC3mLc072tjcpq5AmmEbg9AkyMnSGc__z8upMo58SwvaOg_PDQzz9gqgXPZOAbZaV8bGNauE.JeCeYoJ1fM3GWFUgcNqvBCQIqaWSMLLoudWS9IVhP40&amp;dib_tag=se&amp;keywords=TM1637&amp;qid=1772007848&amp;sprefix=tm1637%2Caps%2C351&amp;sr=8-6&amp;th=1" TargetMode="External"/><Relationship Id="rId7" Type="http://schemas.openxmlformats.org/officeDocument/2006/relationships/hyperlink" Target="https://www.amazon.es/DAOKAI-interruptor-moment%C3%A1neo-componentes-electr%C3%B3nicos/dp/B09WVFHMSV/ref=asc_df_B09WVFHMSV?mcid=d98792bf05cb321fb67f30f9d2a5e562&amp;tag=googshopes-21&amp;linkCode=df0&amp;hvadid=699738949327&amp;hvpos=&amp;hvnetw=g&amp;hvrand=9176436444474790263&amp;hvpone=&amp;hvptwo=&amp;hvqmt=&amp;hvdev=c&amp;hvdvcmdl=&amp;hvlocint=&amp;hvlocphy=1005469&amp;hvtargid=pla-1922990063712&amp;hvocijid=9176436444474790263-B09WVFHMSV-&amp;hvexpln=0&amp;th=1" TargetMode="External"/><Relationship Id="rId8" Type="http://schemas.openxmlformats.org/officeDocument/2006/relationships/hyperlink" Target="https://robotlandia.es/luz/1089-diodos-led-de-10-mm-para-arduino-varios-colores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s.rs-online.com/" TargetMode="External"/><Relationship Id="rId2" Type="http://schemas.openxmlformats.org/officeDocument/2006/relationships/hyperlink" Target="https://www.bcn3dtechnologies.com/ca/" TargetMode="External"/><Relationship Id="rId3" Type="http://schemas.openxmlformats.org/officeDocument/2006/relationships/hyperlink" Target="https://www.robotshop.com/" TargetMode="External"/><Relationship Id="rId4" Type="http://schemas.openxmlformats.org/officeDocument/2006/relationships/hyperlink" Target="https://www.motedis.es/shop/index.php" TargetMode="External"/><Relationship Id="rId5" Type="http://schemas.openxmlformats.org/officeDocument/2006/relationships/hyperlink" Target="https://www.amazon.es/" TargetMode="External"/><Relationship Id="rId6" Type="http://schemas.openxmlformats.org/officeDocument/2006/relationships/hyperlink" Target="http://www.alacermas.com/index.php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7.86"/>
    <col customWidth="1" min="3" max="3" width="52.57"/>
    <col customWidth="1" min="4" max="26" width="11.43"/>
  </cols>
  <sheetData>
    <row r="1" ht="14.2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" t="s">
        <v>0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C4" s="5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4" t="s">
        <v>3</v>
      </c>
      <c r="C6" s="6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4" t="s">
        <v>5</v>
      </c>
      <c r="C8" s="6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7" t="s">
        <v>7</v>
      </c>
      <c r="C10" s="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4" t="s">
        <v>8</v>
      </c>
      <c r="C11" s="9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0">
        <v>1.0</v>
      </c>
      <c r="C12" s="6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0">
        <v>2.0</v>
      </c>
      <c r="C13" s="6" t="s">
        <v>11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0">
        <v>3.0</v>
      </c>
      <c r="C14" s="6" t="s">
        <v>12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0">
        <v>4.0</v>
      </c>
      <c r="C15" s="6" t="s">
        <v>13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0">
        <v>5.0</v>
      </c>
      <c r="C16" s="6" t="s">
        <v>14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7" t="s">
        <v>15</v>
      </c>
      <c r="C18" s="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1" t="s">
        <v>16</v>
      </c>
      <c r="C19" s="6" t="s">
        <v>17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1" t="s">
        <v>18</v>
      </c>
      <c r="C20" s="6" t="s">
        <v>19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1" t="s">
        <v>20</v>
      </c>
      <c r="C21" s="6" t="s">
        <v>21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1" t="s">
        <v>22</v>
      </c>
      <c r="C22" s="6" t="s">
        <v>23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1" t="s">
        <v>24</v>
      </c>
      <c r="C23" s="6" t="s">
        <v>25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1" t="s">
        <v>26</v>
      </c>
      <c r="C24" s="6" t="s">
        <v>27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1"/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7" t="s">
        <v>28</v>
      </c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1" t="s">
        <v>29</v>
      </c>
      <c r="C28" s="6" t="s">
        <v>30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1" t="s">
        <v>31</v>
      </c>
      <c r="C29" s="6" t="s">
        <v>32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1" t="s">
        <v>33</v>
      </c>
      <c r="C30" s="6" t="s">
        <v>34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1" t="s">
        <v>35</v>
      </c>
      <c r="C31" s="6" t="s">
        <v>36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1" t="s">
        <v>37</v>
      </c>
      <c r="C32" s="6" t="s">
        <v>38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1"/>
      <c r="C33" s="1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1"/>
      <c r="C34" s="1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1"/>
      <c r="C35" s="1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1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3">
    <mergeCell ref="B10:C10"/>
    <mergeCell ref="B18:C18"/>
    <mergeCell ref="B27:C2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" t="s">
        <v>39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 t="s">
        <v>40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0"/>
    <col customWidth="1" min="3" max="3" width="50.0"/>
    <col customWidth="1" min="4" max="4" width="11.43"/>
    <col customWidth="1" min="5" max="5" width="17.14"/>
    <col customWidth="1" min="6" max="6" width="11.43"/>
    <col customWidth="1" min="7" max="7" width="13.0"/>
    <col customWidth="1" min="8" max="8" width="29.0"/>
    <col customWidth="1" min="9" max="26" width="11.43"/>
  </cols>
  <sheetData>
    <row r="1" ht="14.2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/>
      <c r="B2" s="3" t="s">
        <v>41</v>
      </c>
      <c r="C2" s="1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1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4" t="s">
        <v>42</v>
      </c>
      <c r="C5" s="6" t="s">
        <v>4</v>
      </c>
      <c r="D5" s="1"/>
      <c r="E5" s="4" t="s">
        <v>43</v>
      </c>
      <c r="F5" s="4">
        <f>SUM(F9:F30)</f>
        <v>91.92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2"/>
      <c r="D6" s="1"/>
      <c r="E6" s="4" t="s">
        <v>44</v>
      </c>
      <c r="F6" s="15">
        <v>300.0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4" t="s">
        <v>8</v>
      </c>
      <c r="C8" s="16" t="s">
        <v>45</v>
      </c>
      <c r="D8" s="4" t="s">
        <v>46</v>
      </c>
      <c r="E8" s="4" t="s">
        <v>47</v>
      </c>
      <c r="F8" s="4" t="s">
        <v>48</v>
      </c>
      <c r="G8" s="4" t="s">
        <v>49</v>
      </c>
      <c r="H8" s="4" t="s">
        <v>50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7">
        <v>1.0</v>
      </c>
      <c r="C9" s="6" t="s">
        <v>51</v>
      </c>
      <c r="D9" s="18">
        <v>1.0</v>
      </c>
      <c r="E9" s="18">
        <v>32.22</v>
      </c>
      <c r="F9" s="19">
        <f t="shared" ref="F9:F22" si="1">E9*D9</f>
        <v>32.22</v>
      </c>
      <c r="G9" s="18" t="s">
        <v>52</v>
      </c>
      <c r="H9" s="20" t="s">
        <v>53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7">
        <f t="shared" ref="B10:B30" si="2">B9+1</f>
        <v>2</v>
      </c>
      <c r="C10" s="6" t="s">
        <v>54</v>
      </c>
      <c r="D10" s="19">
        <v>1.0</v>
      </c>
      <c r="E10" s="18">
        <v>10.32</v>
      </c>
      <c r="F10" s="19">
        <f t="shared" si="1"/>
        <v>10.32</v>
      </c>
      <c r="G10" s="18" t="s">
        <v>52</v>
      </c>
      <c r="H10" s="21" t="s">
        <v>55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7">
        <f t="shared" si="2"/>
        <v>3</v>
      </c>
      <c r="C11" s="6" t="s">
        <v>30</v>
      </c>
      <c r="D11" s="18">
        <v>1.0</v>
      </c>
      <c r="E11" s="18">
        <v>6.87</v>
      </c>
      <c r="F11" s="19">
        <f t="shared" si="1"/>
        <v>6.87</v>
      </c>
      <c r="G11" s="18" t="s">
        <v>52</v>
      </c>
      <c r="H11" s="22" t="s">
        <v>56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7">
        <f t="shared" si="2"/>
        <v>4</v>
      </c>
      <c r="C12" s="6" t="s">
        <v>57</v>
      </c>
      <c r="D12" s="18">
        <v>1.0</v>
      </c>
      <c r="E12" s="18">
        <v>11.04</v>
      </c>
      <c r="F12" s="19">
        <f t="shared" si="1"/>
        <v>11.04</v>
      </c>
      <c r="G12" s="18" t="s">
        <v>58</v>
      </c>
      <c r="H12" s="23" t="s">
        <v>59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7">
        <f t="shared" si="2"/>
        <v>5</v>
      </c>
      <c r="C13" s="6" t="s">
        <v>60</v>
      </c>
      <c r="D13" s="18">
        <v>1.0</v>
      </c>
      <c r="E13" s="18">
        <v>5.78</v>
      </c>
      <c r="F13" s="19">
        <f t="shared" si="1"/>
        <v>5.78</v>
      </c>
      <c r="G13" s="18" t="s">
        <v>52</v>
      </c>
      <c r="H13" s="22" t="s">
        <v>61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7">
        <f t="shared" si="2"/>
        <v>6</v>
      </c>
      <c r="C14" s="6" t="s">
        <v>62</v>
      </c>
      <c r="D14" s="18">
        <v>2.0</v>
      </c>
      <c r="E14" s="18">
        <v>5.6</v>
      </c>
      <c r="F14" s="19">
        <f t="shared" si="1"/>
        <v>11.2</v>
      </c>
      <c r="G14" s="18" t="s">
        <v>52</v>
      </c>
      <c r="H14" s="22" t="s">
        <v>63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7">
        <f t="shared" si="2"/>
        <v>7</v>
      </c>
      <c r="C15" s="6" t="s">
        <v>64</v>
      </c>
      <c r="D15" s="18">
        <v>2.0</v>
      </c>
      <c r="E15" s="18">
        <v>0.3</v>
      </c>
      <c r="F15" s="19">
        <f t="shared" si="1"/>
        <v>0.6</v>
      </c>
      <c r="G15" s="18" t="s">
        <v>52</v>
      </c>
      <c r="H15" s="22" t="s">
        <v>65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7">
        <f t="shared" si="2"/>
        <v>8</v>
      </c>
      <c r="C16" s="6" t="s">
        <v>66</v>
      </c>
      <c r="D16" s="18">
        <v>1.0</v>
      </c>
      <c r="E16" s="18">
        <v>0.3</v>
      </c>
      <c r="F16" s="19">
        <f t="shared" si="1"/>
        <v>0.3</v>
      </c>
      <c r="G16" s="18" t="s">
        <v>67</v>
      </c>
      <c r="H16" s="23" t="s">
        <v>68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7">
        <f t="shared" si="2"/>
        <v>9</v>
      </c>
      <c r="C17" s="6" t="s">
        <v>69</v>
      </c>
      <c r="D17" s="18">
        <v>1.0</v>
      </c>
      <c r="E17" s="18">
        <v>0.3</v>
      </c>
      <c r="F17" s="19">
        <f t="shared" si="1"/>
        <v>0.3</v>
      </c>
      <c r="G17" s="18" t="s">
        <v>67</v>
      </c>
      <c r="H17" s="23" t="s">
        <v>70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7">
        <f t="shared" si="2"/>
        <v>10</v>
      </c>
      <c r="C18" s="6" t="s">
        <v>71</v>
      </c>
      <c r="D18" s="18">
        <v>1.0</v>
      </c>
      <c r="E18" s="18">
        <v>0.3</v>
      </c>
      <c r="F18" s="19">
        <f t="shared" si="1"/>
        <v>0.3</v>
      </c>
      <c r="G18" s="18" t="s">
        <v>67</v>
      </c>
      <c r="H18" s="23" t="s">
        <v>72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7">
        <f t="shared" si="2"/>
        <v>11</v>
      </c>
      <c r="C19" s="6" t="s">
        <v>73</v>
      </c>
      <c r="D19" s="18">
        <v>1.0</v>
      </c>
      <c r="E19" s="18">
        <v>1.0</v>
      </c>
      <c r="F19" s="19">
        <f t="shared" si="1"/>
        <v>1</v>
      </c>
      <c r="G19" s="18" t="s">
        <v>52</v>
      </c>
      <c r="H19" s="22" t="s">
        <v>74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7">
        <f t="shared" si="2"/>
        <v>12</v>
      </c>
      <c r="C20" s="6" t="s">
        <v>75</v>
      </c>
      <c r="D20" s="18">
        <v>3.0</v>
      </c>
      <c r="E20" s="18">
        <v>1.0</v>
      </c>
      <c r="F20" s="19">
        <f t="shared" si="1"/>
        <v>3</v>
      </c>
      <c r="G20" s="18" t="s">
        <v>52</v>
      </c>
      <c r="H20" s="22" t="s">
        <v>76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7">
        <f t="shared" si="2"/>
        <v>13</v>
      </c>
      <c r="C21" s="6" t="s">
        <v>77</v>
      </c>
      <c r="D21" s="18">
        <v>1.0</v>
      </c>
      <c r="E21" s="18">
        <v>2.0</v>
      </c>
      <c r="F21" s="19">
        <f t="shared" si="1"/>
        <v>2</v>
      </c>
      <c r="G21" s="18" t="s">
        <v>52</v>
      </c>
      <c r="H21" s="22" t="s">
        <v>78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7">
        <f t="shared" si="2"/>
        <v>14</v>
      </c>
      <c r="C22" s="6" t="s">
        <v>79</v>
      </c>
      <c r="D22" s="18">
        <v>1.0</v>
      </c>
      <c r="E22" s="18">
        <v>5.99</v>
      </c>
      <c r="F22" s="19">
        <f t="shared" si="1"/>
        <v>5.99</v>
      </c>
      <c r="G22" s="18" t="s">
        <v>52</v>
      </c>
      <c r="H22" s="24" t="s">
        <v>80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7">
        <f t="shared" si="2"/>
        <v>15</v>
      </c>
      <c r="C23" s="6" t="s">
        <v>81</v>
      </c>
      <c r="D23" s="18">
        <v>1.0</v>
      </c>
      <c r="E23" s="18">
        <v>1.0</v>
      </c>
      <c r="F23" s="18">
        <v>1.0</v>
      </c>
      <c r="G23" s="18" t="s">
        <v>52</v>
      </c>
      <c r="H23" s="22" t="s">
        <v>82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7">
        <f t="shared" si="2"/>
        <v>16</v>
      </c>
      <c r="C24" s="6"/>
      <c r="D24" s="18"/>
      <c r="E24" s="18"/>
      <c r="F24" s="18"/>
      <c r="G24" s="18"/>
      <c r="H24" s="2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7">
        <f t="shared" si="2"/>
        <v>17</v>
      </c>
      <c r="C25" s="6"/>
      <c r="D25" s="18"/>
      <c r="E25" s="18"/>
      <c r="F25" s="19"/>
      <c r="G25" s="18"/>
      <c r="H25" s="2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7">
        <f t="shared" si="2"/>
        <v>18</v>
      </c>
      <c r="C26" s="12"/>
      <c r="D26" s="19"/>
      <c r="E26" s="19"/>
      <c r="F26" s="19">
        <f t="shared" ref="F26:F30" si="3">E26*D26</f>
        <v>0</v>
      </c>
      <c r="G26" s="19"/>
      <c r="H26" s="1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7">
        <f t="shared" si="2"/>
        <v>19</v>
      </c>
      <c r="C27" s="12"/>
      <c r="D27" s="19"/>
      <c r="E27" s="19"/>
      <c r="F27" s="19">
        <f t="shared" si="3"/>
        <v>0</v>
      </c>
      <c r="G27" s="19"/>
      <c r="H27" s="1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7">
        <f t="shared" si="2"/>
        <v>20</v>
      </c>
      <c r="C28" s="12"/>
      <c r="D28" s="19"/>
      <c r="E28" s="19"/>
      <c r="F28" s="19">
        <f t="shared" si="3"/>
        <v>0</v>
      </c>
      <c r="G28" s="19"/>
      <c r="H28" s="1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7">
        <f t="shared" si="2"/>
        <v>21</v>
      </c>
      <c r="C29" s="12"/>
      <c r="D29" s="19"/>
      <c r="E29" s="19"/>
      <c r="F29" s="19">
        <f t="shared" si="3"/>
        <v>0</v>
      </c>
      <c r="G29" s="19"/>
      <c r="H29" s="1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7">
        <f t="shared" si="2"/>
        <v>22</v>
      </c>
      <c r="C30" s="12"/>
      <c r="D30" s="19"/>
      <c r="E30" s="19"/>
      <c r="F30" s="19">
        <f t="shared" si="3"/>
        <v>0</v>
      </c>
      <c r="G30" s="19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2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2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2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2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2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2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2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H9"/>
    <hyperlink r:id="rId2" ref="H10"/>
    <hyperlink r:id="rId3" ref="H11"/>
    <hyperlink r:id="rId4" ref="H12"/>
    <hyperlink r:id="rId5" ref="H13"/>
    <hyperlink r:id="rId6" ref="H14"/>
    <hyperlink r:id="rId7" ref="H15"/>
    <hyperlink r:id="rId8" ref="H16"/>
    <hyperlink r:id="rId9" ref="H17"/>
    <hyperlink r:id="rId10" ref="H18"/>
    <hyperlink r:id="rId11" ref="H19"/>
    <hyperlink r:id="rId12" ref="H20"/>
    <hyperlink r:id="rId13" ref="H21"/>
    <hyperlink r:id="rId14" ref="H22"/>
    <hyperlink r:id="rId15" ref="H23"/>
  </hyperlinks>
  <printOptions/>
  <pageMargins bottom="0.75" footer="0.0" header="0.0" left="0.7" right="0.7" top="0.75"/>
  <pageSetup paperSize="9" orientation="portrait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9.71"/>
    <col customWidth="1" min="4" max="4" width="77.57"/>
    <col customWidth="1" min="5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4" t="s">
        <v>49</v>
      </c>
      <c r="D4" s="14" t="s">
        <v>9</v>
      </c>
      <c r="E4" s="14" t="s">
        <v>83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5" t="s">
        <v>84</v>
      </c>
      <c r="D5" s="15" t="s">
        <v>85</v>
      </c>
      <c r="E5" s="28" t="s">
        <v>86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5" t="s">
        <v>87</v>
      </c>
      <c r="D6" s="15" t="s">
        <v>88</v>
      </c>
      <c r="E6" s="28" t="s">
        <v>89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5" t="s">
        <v>90</v>
      </c>
      <c r="D7" s="15" t="s">
        <v>91</v>
      </c>
      <c r="E7" s="28" t="s">
        <v>92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5" t="s">
        <v>93</v>
      </c>
      <c r="D8" s="15" t="s">
        <v>94</v>
      </c>
      <c r="E8" s="28" t="s">
        <v>95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5" t="s">
        <v>52</v>
      </c>
      <c r="D9" s="15" t="s">
        <v>96</v>
      </c>
      <c r="E9" s="28" t="s">
        <v>97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5" t="s">
        <v>98</v>
      </c>
      <c r="D10" s="15" t="s">
        <v>94</v>
      </c>
      <c r="E10" s="28" t="s">
        <v>99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5"/>
      <c r="D11" s="15"/>
      <c r="E11" s="1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5"/>
      <c r="D12" s="15"/>
      <c r="E12" s="1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5"/>
      <c r="D13" s="15"/>
      <c r="E13" s="1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 t="s">
        <v>100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 t="s">
        <v>101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E5"/>
    <hyperlink r:id="rId2" ref="E6"/>
    <hyperlink r:id="rId3" ref="E7"/>
    <hyperlink r:id="rId4" ref="E8"/>
    <hyperlink r:id="rId5" ref="E9"/>
    <hyperlink r:id="rId6" ref="E10"/>
  </hyperlinks>
  <printOptions/>
  <pageMargins bottom="0.75" footer="0.0" header="0.0" left="0.7" right="0.7" top="0.75"/>
  <pageSetup paperSize="9"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2018-02-28T07:28:28Z</dcterms:created>
  <dc:creator>Pau Català Calderón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